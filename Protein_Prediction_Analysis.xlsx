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 Data" sheetId="1" state="visible" r:id="rId3"/>
    <sheet name="Summary by Year" sheetId="2" state="visible" r:id="rId4"/>
    <sheet name="Variety Analysis" sheetId="3" state="visible" r:id="rId5"/>
    <sheet name="Nufol Effect" sheetId="4" state="visible" r:id="rId6"/>
    <sheet name="Key 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<sst xmlns="http://schemas.openxmlformats.org/spreadsheetml/2006/main" count="388" uniqueCount="199">
  <si>
    <t xml:space="preserve">Upper Assendon Farm — Hill Court Protein Predictions vs Harvest Actuals  |  2021–2025</t>
  </si>
  <si>
    <t xml:space="preserve">Year</t>
  </si>
  <si>
    <t xml:space="preserve">Sample Date</t>
  </si>
  <si>
    <t xml:space="preserve">Field / Location</t>
  </si>
  <si>
    <t xml:space="preserve">Variety</t>
  </si>
  <si>
    <t xml:space="preserve">Prediction
(%)</t>
  </si>
  <si>
    <t xml:space="preserve">HC Traffic
Light</t>
  </si>
  <si>
    <t xml:space="preserve">Nufol
Applied?</t>
  </si>
  <si>
    <t xml:space="preserve">Harvest
Actual (%)</t>
  </si>
  <si>
    <t xml:space="preserve">Harvest
Source</t>
  </si>
  <si>
    <t xml:space="preserve">Variance
(Actual−Pred)</t>
  </si>
  <si>
    <t xml:space="preserve">Pred
Accurate?</t>
  </si>
  <si>
    <t xml:space="preserve">Notes</t>
  </si>
  <si>
    <t xml:space="preserve">30/06/21</t>
  </si>
  <si>
    <t xml:space="preserve">Lodge</t>
  </si>
  <si>
    <t xml:space="preserve">SW Mulika</t>
  </si>
  <si>
    <t xml:space="preserve">🟢 Green</t>
  </si>
  <si>
    <t xml:space="preserve">No</t>
  </si>
  <si>
    <t xml:space="preserve">✓ Yes</t>
  </si>
  <si>
    <t xml:space="preserve">Lodge = Stonar in Heygate. Single bay.</t>
  </si>
  <si>
    <t xml:space="preserve">Assendon</t>
  </si>
  <si>
    <t xml:space="preserve">WW Skyfall</t>
  </si>
  <si>
    <t xml:space="preserve">🟡 Amber</t>
  </si>
  <si>
    <t xml:space="preserve">✗ No</t>
  </si>
  <si>
    <t xml:space="preserve">Prediction amber, actual well above. Very good year for Skyfall.</t>
  </si>
  <si>
    <t xml:space="preserve">Grange</t>
  </si>
  <si>
    <t xml:space="preserve">WW Extase</t>
  </si>
  <si>
    <t xml:space="preserve">Multiple bays averaged. Sep figure used.</t>
  </si>
  <si>
    <t xml:space="preserve">Bix</t>
  </si>
  <si>
    <t xml:space="preserve">WW Zyatt</t>
  </si>
  <si>
    <t xml:space="preserve">🟠 Orange</t>
  </si>
  <si>
    <t xml:space="preserve">Yes</t>
  </si>
  <si>
    <t xml:space="preserve">No Heygate harvest sample for Zyatt 2021. Nufol applied due to orange rating.</t>
  </si>
  <si>
    <t xml:space="preserve">31/05/22</t>
  </si>
  <si>
    <t xml:space="preserve">Holly Hill</t>
  </si>
  <si>
    <t xml:space="preserve">Bixhall Zyatt avg 11.56 may apply to Bix field, not Holly Hill directly.</t>
  </si>
  <si>
    <t xml:space="preserve">Finger Wood</t>
  </si>
  <si>
    <t xml:space="preserve">Nufol applied. Actual below 12.5 still — marginal.</t>
  </si>
  <si>
    <t xml:space="preserve">Steins Park</t>
  </si>
  <si>
    <t xml:space="preserve">Prediction slightly above actual. Skyfall underperformed pred.</t>
  </si>
  <si>
    <t xml:space="preserve">Fir Field</t>
  </si>
  <si>
    <t xml:space="preserve">Green prediction, actual came in below 12.5. Prediction over-optimistic.</t>
  </si>
  <si>
    <t xml:space="preserve">14/06/23</t>
  </si>
  <si>
    <t xml:space="preserve">Wanscombe</t>
  </si>
  <si>
    <t xml:space="preserve">All 2023 predictions orange. Nufol applied across farm.</t>
  </si>
  <si>
    <t xml:space="preserve">S110</t>
  </si>
  <si>
    <t xml:space="preserve">WW Palladium</t>
  </si>
  <si>
    <t xml:space="preserve">WW Ultimatum</t>
  </si>
  <si>
    <t xml:space="preserve">Spring Pit</t>
  </si>
  <si>
    <t xml:space="preserve">Borderleys</t>
  </si>
  <si>
    <t xml:space="preserve">Highest of the year but still orange.</t>
  </si>
  <si>
    <t xml:space="preserve">Lewknor</t>
  </si>
  <si>
    <t xml:space="preserve">19/06/24</t>
  </si>
  <si>
    <t xml:space="preserve">Prediction amber, actual below 12.5.</t>
  </si>
  <si>
    <t xml:space="preserve">Naiboss 150</t>
  </si>
  <si>
    <t xml:space="preserve">Green prediction but actual only 11.3. Significant over-prediction.</t>
  </si>
  <si>
    <t xml:space="preserve">Naiboss 300</t>
  </si>
  <si>
    <t xml:space="preserve">Amber pred, actual in line — slightly low.</t>
  </si>
  <si>
    <t xml:space="preserve">Nufol applied. Actual came in above prediction — good uplift.</t>
  </si>
  <si>
    <t xml:space="preserve">Lodge R Leaf</t>
  </si>
  <si>
    <t xml:space="preserve">Nufol applied. Big uplift vs prediction.</t>
  </si>
  <si>
    <t xml:space="preserve">Steins</t>
  </si>
  <si>
    <t xml:space="preserve">WW Ladum</t>
  </si>
  <si>
    <t xml:space="preserve">Nufol applied. Ladum massively outperformed prediction (+2.0%). Variety effect?</t>
  </si>
  <si>
    <t xml:space="preserve">Para RL</t>
  </si>
  <si>
    <t xml:space="preserve">Nufol applied. Large uplift — Skyfall responded very well.</t>
  </si>
  <si>
    <t xml:space="preserve">Paradise</t>
  </si>
  <si>
    <t xml:space="preserve">Nufol applied. Same Skyfall harvest average.</t>
  </si>
  <si>
    <t xml:space="preserve">Silo</t>
  </si>
  <si>
    <t xml:space="preserve">Nufol applied. Large uplift.</t>
  </si>
  <si>
    <t xml:space="preserve">Holly</t>
  </si>
  <si>
    <t xml:space="preserve">Amber pred. Actual above — good year for Skyfall.</t>
  </si>
  <si>
    <t xml:space="preserve">18/06/25</t>
  </si>
  <si>
    <t xml:space="preserve">SILO</t>
  </si>
  <si>
    <t xml:space="preserve">Green pred, actual well above. Exceptional Extase year.</t>
  </si>
  <si>
    <t xml:space="preserve">LEWKNOR</t>
  </si>
  <si>
    <t xml:space="preserve">Amber pred but actual 14.1% — large underestimate.</t>
  </si>
  <si>
    <t xml:space="preserve">LODGE</t>
  </si>
  <si>
    <t xml:space="preserve">KEEPERS</t>
  </si>
  <si>
    <t xml:space="preserve">WANSCOME</t>
  </si>
  <si>
    <t xml:space="preserve">ROWLEY</t>
  </si>
  <si>
    <t xml:space="preserve">GRANGE</t>
  </si>
  <si>
    <t xml:space="preserve">Green pred but actual just 12.56 — unusual.</t>
  </si>
  <si>
    <t xml:space="preserve">STEINS PARK</t>
  </si>
  <si>
    <t xml:space="preserve">SW Ladum</t>
  </si>
  <si>
    <t xml:space="preserve">Strong Ladum again — consistent high protein variety.</t>
  </si>
  <si>
    <t xml:space="preserve">WANSCOMBE 2</t>
  </si>
  <si>
    <t xml:space="preserve">WW</t>
  </si>
  <si>
    <t xml:space="preserve">Protein Prediction Accuracy Summary — by Year</t>
  </si>
  <si>
    <t xml:space="preserve"># Fields
Sampled</t>
  </si>
  <si>
    <t xml:space="preserve"># With
Harvest Data</t>
  </si>
  <si>
    <t xml:space="preserve">Avg
Prediction</t>
  </si>
  <si>
    <t xml:space="preserve">Avg
Actual</t>
  </si>
  <si>
    <t xml:space="preserve">Avg
Variance</t>
  </si>
  <si>
    <t xml:space="preserve">Fields where
Pred Accurate
(±0.5%)</t>
  </si>
  <si>
    <t xml:space="preserve">Tendency</t>
  </si>
  <si>
    <t xml:space="preserve">Nufol
Fields</t>
  </si>
  <si>
    <t xml:space="preserve">+1.09</t>
  </si>
  <si>
    <t xml:space="preserve">1/3 (33%)</t>
  </si>
  <si>
    <t xml:space="preserve">UNDER-predicts</t>
  </si>
  <si>
    <t xml:space="preserve">Skyfall massively exceeded pred (+1.65%). Mulika accurate (+0.2%). Extase +0.37%. Zyatt no harvest data.</t>
  </si>
  <si>
    <t xml:space="preserve">−0.35</t>
  </si>
  <si>
    <t xml:space="preserve">2/3 (67%)</t>
  </si>
  <si>
    <t xml:space="preserve">Slight over-predicts</t>
  </si>
  <si>
    <t xml:space="preserve">Extase predicted green (12.9%) but achieved only 12.27% — over-optimistic. Zyatt with Nufol hit 11.56%, below 12.5% still.</t>
  </si>
  <si>
    <t xml:space="preserve">—</t>
  </si>
  <si>
    <t xml:space="preserve">N/A</t>
  </si>
  <si>
    <t xml:space="preserve">All orange — Nufol applied all fields</t>
  </si>
  <si>
    <t xml:space="preserve">No harvest CSV for 2023. Universally low N year. If you have Heygate 2023 results please add to Raw Data sheet.</t>
  </si>
  <si>
    <t xml:space="preserve">+1.24</t>
  </si>
  <si>
    <t xml:space="preserve">2/9 (22%)</t>
  </si>
  <si>
    <t xml:space="preserve">UNDER-predicts significantly</t>
  </si>
  <si>
    <t xml:space="preserve">Orange predictions widely under-predicted actual. Ladum +2.0%, Skyfall +2.7–2.9%. Nufol likely contributed but variety effect also strong. 2024 was a good protein year.</t>
  </si>
  <si>
    <t xml:space="preserve">+1.07</t>
  </si>
  <si>
    <t xml:space="preserve">2/5 (40%)</t>
  </si>
  <si>
    <t xml:space="preserve">Extase hugely under-predicted (pred 12.1–12.5, actual 14.1%). Ultimatum reasonably accurate. Ladum again very high. No Nufol recorded 2025 — predictions mostly amber/green.</t>
  </si>
  <si>
    <t xml:space="preserve">Protein Prediction Accuracy by Variety (matched pairs only)</t>
  </si>
  <si>
    <t xml:space="preserve">Years with
Data</t>
  </si>
  <si>
    <t xml:space="preserve"># Matched
Pairs</t>
  </si>
  <si>
    <t xml:space="preserve">2021–2025</t>
  </si>
  <si>
    <t xml:space="preserve">+0.49</t>
  </si>
  <si>
    <t xml:space="preserve">Slight under-predict</t>
  </si>
  <si>
    <t xml:space="preserve">2021/22/24 reasonable. 2025 badly under-predicted (14.1% actual). Generally amber/green rated but actuals variable. Best N uptake variety on farm.</t>
  </si>
  <si>
    <t xml:space="preserve">2021–2024</t>
  </si>
  <si>
    <t xml:space="preserve">+1.86</t>
  </si>
  <si>
    <t xml:space="preserve">Prediction consistently below actual — especially 2021 (+1.65%) and 2024 (+2.7%). Hill Court may systematically under-rate Skyfall.</t>
  </si>
  <si>
    <t xml:space="preserve">2024–2025</t>
  </si>
  <si>
    <t xml:space="preserve">+0.58</t>
  </si>
  <si>
    <t xml:space="preserve">2024 prediction orange (9.9–10.5%) but actual 11.3%. 2025 more accurate. Nufol applied 2024.</t>
  </si>
  <si>
    <t xml:space="preserve">SW/WW Ladum</t>
  </si>
  <si>
    <t xml:space="preserve">+0.98</t>
  </si>
  <si>
    <t xml:space="preserve">Under-predicts</t>
  </si>
  <si>
    <t xml:space="preserve">Consistently outperforms prediction. High natural protein variety. Pred 10.8% → actual 12.83% in 2024 (+2.0%) is striking. Nufol applied 2024.</t>
  </si>
  <si>
    <t xml:space="preserve">2021–2022</t>
  </si>
  <si>
    <t xml:space="preserve">−0.24</t>
  </si>
  <si>
    <t xml:space="preserve">Slight over-predict</t>
  </si>
  <si>
    <t xml:space="preserve">Limited data. 2022 Finger Wood orange pred, Nufol applied, actual 11.56 — still below 12.5%. Holly Hill no harvest match.</t>
  </si>
  <si>
    <t xml:space="preserve">2024</t>
  </si>
  <si>
    <t xml:space="preserve">+2.43</t>
  </si>
  <si>
    <t xml:space="preserve">Large under-predict</t>
  </si>
  <si>
    <t xml:space="preserve">Only one data point. Orange pred, Nufol applied, actual 12.53. Could be Nufol effect or variety characteristic.</t>
  </si>
  <si>
    <t xml:space="preserve">WW Mulika</t>
  </si>
  <si>
    <t xml:space="preserve">2021</t>
  </si>
  <si>
    <t xml:space="preserve">+0.20</t>
  </si>
  <si>
    <t xml:space="preserve">Accurate</t>
  </si>
  <si>
    <t xml:space="preserve">Single data point. Green prediction, actual matched well.</t>
  </si>
  <si>
    <t xml:space="preserve">Nufol Ear Application — Effect on Protein vs Prediction</t>
  </si>
  <si>
    <t xml:space="preserve">Field</t>
  </si>
  <si>
    <t xml:space="preserve">Traffic
Light</t>
  </si>
  <si>
    <t xml:space="preserve">Achieved
≥12.5%?</t>
  </si>
  <si>
    <t xml:space="preserve">+0.26</t>
  </si>
  <si>
    <t xml:space="preserve">Nufol applied but still below 12.5%. Wet summer limiting factor likely.</t>
  </si>
  <si>
    <t xml:space="preserve">+0.84</t>
  </si>
  <si>
    <t xml:space="preserve">Uplift of +0.84% achieved. Still below 12.5 but meaningful response.</t>
  </si>
  <si>
    <t xml:space="preserve">+1.44</t>
  </si>
  <si>
    <t xml:space="preserve">Large uplift from very low base. Still below 12.5%.</t>
  </si>
  <si>
    <t xml:space="preserve">+2.03</t>
  </si>
  <si>
    <t xml:space="preserve">Target 1% boost achieved and exceeded. Ladum appears very N-responsive.</t>
  </si>
  <si>
    <t xml:space="preserve">+2.94</t>
  </si>
  <si>
    <t xml:space="preserve">Exceptional response. Skyfall highly responsive to Nufol in 2024.</t>
  </si>
  <si>
    <t xml:space="preserve">+2.74</t>
  </si>
  <si>
    <t xml:space="preserve">Same Skyfall harvest bay — consistent result.</t>
  </si>
  <si>
    <t xml:space="preserve">Strong response. Only 1 bay data point.</t>
  </si>
  <si>
    <t xml:space="preserve">⚑  Nufol Summary</t>
  </si>
  <si>
    <t xml:space="preserve">Average variance where Nufol applied and harvest data exists:  +1.67%  (range +0.26% to +2.94%)</t>
  </si>
  <si>
    <t xml:space="preserve">Fields achieving ≥12.5% after Nufol:  4 of 7 (57%)  — all in 2024 which was a generally good protein year</t>
  </si>
  <si>
    <t xml:space="preserve">Target of +1% protein boost:  met or exceeded in 5 of 7 cases (71%)</t>
  </si>
  <si>
    <t xml:space="preserve">Caveat:  No untreated control comparisons available. 2024 was a high-protein year regardless, so isolation of Nufol effect is not possible from this data alone.</t>
  </si>
  <si>
    <t xml:space="preserve">Best Nufol response varieties:  Skyfall (+2.7–2.9%), Ladum (+2.0%), Palladium (+2.4%)</t>
  </si>
  <si>
    <t xml:space="preserve">Weakest Nufol response:  Zyatt 2022 (+0.26%) — possibly moisture/timing limited</t>
  </si>
  <si>
    <t xml:space="preserve">PROTEIN PREDICTION ACCURACY — KEY FINDINGS  |  Upper Assendon Farm 2021–2025</t>
  </si>
  <si>
    <t xml:space="preserve">OVERALL PICTURE</t>
  </si>
  <si>
    <t xml:space="preserve">Hill Court predictions tend to UNDER-predict actual harvest protein across all years with data.</t>
  </si>
  <si>
    <t xml:space="preserve">Average variance (actual minus prediction) across all matched pairs: approximately +1.1% — meaning actual protein comes in higher than predicted.</t>
  </si>
  <si>
    <t xml:space="preserve">Only 2022 showed slight over-prediction. Every other year: actual &gt; predicted.</t>
  </si>
  <si>
    <t xml:space="preserve">BY YEAR</t>
  </si>
  <si>
    <t xml:space="preserve">2021: Under-predicted by avg +1.09%. Skyfall exceeded prediction by +1.65%.</t>
  </si>
  <si>
    <t xml:space="preserve">2022: Slight over-prediction (−0.35%). Extase predicted green (12.9%) but achieved 12.27% — green rating was too optimistic.</t>
  </si>
  <si>
    <t xml:space="preserve">2023: ALL fields orange — no harvest CSV available to confirm outcomes. Nufol applied to all. Please add 2023 Heygate results to Raw Data sheet.</t>
  </si>
  <si>
    <t xml:space="preserve">2024: Large under-prediction (+1.24% avg). Orange predictions across almost all fields yet actual protein came in 11–13%. Best Nufol response year.</t>
  </si>
  <si>
    <t xml:space="preserve">2025: Under-predicted by avg +1.07%. Extase extraordinary at 14.1% vs 12.1–12.5% predicted. Very high protein year.</t>
  </si>
  <si>
    <t xml:space="preserve">BY VARIETY</t>
  </si>
  <si>
    <t xml:space="preserve">Skyfall:   CONSISTENTLY under-predicted. Avg prediction 11.4%, avg actual 13.3% — variance +1.86%. Hill Court seems to under-rate this variety.</t>
  </si>
  <si>
    <t xml:space="preserve">Ladum:    Under-predicted. Naturally high protein variety. Avg +0.98%. 2024 prediction was 10.8%, actual 12.83% — do not be misled by orange Ladum ratings.</t>
  </si>
  <si>
    <t xml:space="preserve">Extase:   Generally reasonable (avg +0.49%) but 2025 was a major outlier — prediction 12.1–12.5%, actual 14.1%.</t>
  </si>
  <si>
    <t xml:space="preserve">Ultimatum: Slight under-predict (+0.58%). 2024 orange predictions proved too pessimistic.</t>
  </si>
  <si>
    <t xml:space="preserve">Zyatt:    Slight over-predict. Limited data. Nufol in 2022 achieved only 11.56% — below 12.5%.</t>
  </si>
  <si>
    <t xml:space="preserve">NUFOL EAR APPLICATION</t>
  </si>
  <si>
    <t xml:space="preserve">Applied when prediction is orange (&lt;12.5%). Target: +1% protein uplift.</t>
  </si>
  <si>
    <t xml:space="preserve">Average uplift vs prediction (7 matched data points): +1.67%.</t>
  </si>
  <si>
    <t xml:space="preserve">Target of +1% met or exceeded in 5 of 7 cases (71%).</t>
  </si>
  <si>
    <t xml:space="preserve">4 of 7 fields reached ≥12.5% after treatment (57%) — all in 2024.</t>
  </si>
  <si>
    <t xml:space="preserve">IMPORTANT CAVEAT: Because the whole farm had low predictions in the same years Nufol was applied, we cannot separate the Nufol effect from the general season effect without untreated controls.</t>
  </si>
  <si>
    <t xml:space="preserve">PRACTICAL IMPLICATIONS FOR DECISION-MAKING</t>
  </si>
  <si>
    <t xml:space="preserve">1.  Orange prediction does NOT mean you will definitely end up below 12.5% — actuals have come in well above in most orange years.</t>
  </si>
  <si>
    <t xml:space="preserve">2.  For Skyfall and Ladum: consider the orange/amber threshold as less reliable — both varieties routinely outperform prediction.</t>
  </si>
  <si>
    <t xml:space="preserve">3.  A green prediction is not a guarantee — Extase 2022 and Naiboss 2024 were both green but underdelivered.</t>
  </si>
  <si>
    <t xml:space="preserve">4.  Nufol appears cost-effective as insurance on amber/orange fields given consistent uplifts, but isolation from season effects needs on-farm trial.</t>
  </si>
  <si>
    <t xml:space="preserve">5.  Missing data: 2023 harvest results and any Zyatt 2021 data would strengthen this analysis.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</si>
</sst>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0;\-0.00;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B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AEEF3"/>
      </patternFill>
    </fill>
    <fill>
      <patternFill patternType="solid">
        <fgColor rgb="FF92D050"/>
        <bgColor rgb="FFAAAAAA"/>
      </patternFill>
    </fill>
    <fill>
      <patternFill patternType="solid">
        <fgColor rgb="FFFFFFFF"/>
        <bgColor rgb="FFEBF3FB"/>
      </patternFill>
    </fill>
    <fill>
      <patternFill patternType="solid">
        <fgColor rgb="FFFF8C00"/>
        <bgColor rgb="FFFF6600"/>
      </patternFill>
    </fill>
    <fill>
      <patternFill patternType="solid">
        <fgColor rgb="FFFFC000"/>
        <bgColor rgb="FFFF8C00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DAEEF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DAEEF3"/>
      </patternFill>
    </fill>
    <fill>
      <patternFill patternType="solid">
        <fgColor rgb="FFDAEEF3"/>
        <bgColor rgb="FFD6E4F0"/>
      </patternFill>
    </fill>
    <fill>
      <patternFill patternType="solid">
        <fgColor rgb="FFFFF2CC"/>
        <bgColor rgb="FFFFE0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1F4E79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1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2D050"/>
      <rgbColor rgb="FFFFC000"/>
      <rgbColor rgb="FFFF8C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.75" hidden="false" customHeight="true" outlineLevel="0" collapsed="false">
      <c r="A3" s="4" t="n">
        <v>2021</v>
      </c>
      <c r="B3" s="4" t="s">
        <v>13</v>
      </c>
      <c r="C3" s="5" t="s">
        <v>14</v>
      </c>
      <c r="D3" s="5" t="s">
        <v>15</v>
      </c>
      <c r="E3" s="6" t="n">
        <v>13.4</v>
      </c>
      <c r="F3" s="7" t="s">
        <v>16</v>
      </c>
      <c r="G3" s="4" t="s">
        <v>17</v>
      </c>
      <c r="H3" s="4" t="n">
        <v>13.6</v>
      </c>
      <c r="I3" s="5" t="n">
        <f aca="false">IF(AND(ISNUMBER(E3),ISNUMBER(H3)),H3-E3,"")</f>
        <v>0.199999999999999</v>
      </c>
      <c r="J3" s="8" t="n">
        <v>0.2</v>
      </c>
      <c r="K3" s="9" t="s">
        <v>18</v>
      </c>
      <c r="L3" s="5" t="s">
        <v>19</v>
      </c>
    </row>
    <row r="4" customFormat="false" ht="15.75" hidden="false" customHeight="true" outlineLevel="0" collapsed="false">
      <c r="A4" s="10" t="n">
        <v>2021</v>
      </c>
      <c r="B4" s="10" t="s">
        <v>13</v>
      </c>
      <c r="C4" s="11" t="s">
        <v>20</v>
      </c>
      <c r="D4" s="11" t="s">
        <v>21</v>
      </c>
      <c r="E4" s="12" t="n">
        <v>12.4</v>
      </c>
      <c r="F4" s="13" t="s">
        <v>22</v>
      </c>
      <c r="G4" s="10" t="s">
        <v>17</v>
      </c>
      <c r="H4" s="10" t="n">
        <v>14.05</v>
      </c>
      <c r="I4" s="11" t="n">
        <f aca="false">IF(AND(ISNUMBER(E4),ISNUMBER(H4)),H4-E4,"")</f>
        <v>1.65</v>
      </c>
      <c r="J4" s="14" t="n">
        <v>1.65</v>
      </c>
      <c r="K4" s="15" t="s">
        <v>23</v>
      </c>
      <c r="L4" s="11" t="s">
        <v>24</v>
      </c>
    </row>
    <row r="5" customFormat="false" ht="15.75" hidden="false" customHeight="true" outlineLevel="0" collapsed="false">
      <c r="A5" s="16" t="n">
        <v>2021</v>
      </c>
      <c r="B5" s="16" t="s">
        <v>13</v>
      </c>
      <c r="C5" s="17" t="s">
        <v>25</v>
      </c>
      <c r="D5" s="17" t="s">
        <v>26</v>
      </c>
      <c r="E5" s="12" t="n">
        <v>12.3</v>
      </c>
      <c r="F5" s="13" t="s">
        <v>22</v>
      </c>
      <c r="G5" s="16" t="s">
        <v>17</v>
      </c>
      <c r="H5" s="16" t="n">
        <v>12.67</v>
      </c>
      <c r="I5" s="17" t="n">
        <f aca="false">IF(AND(ISNUMBER(E5),ISNUMBER(H5)),H5-E5,"")</f>
        <v>0.369999999999999</v>
      </c>
      <c r="J5" s="8" t="n">
        <v>0.37</v>
      </c>
      <c r="K5" s="9" t="s">
        <v>18</v>
      </c>
      <c r="L5" s="17" t="s">
        <v>27</v>
      </c>
    </row>
    <row r="6" customFormat="false" ht="15.75" hidden="false" customHeight="true" outlineLevel="0" collapsed="false">
      <c r="A6" s="18" t="n">
        <v>2021</v>
      </c>
      <c r="B6" s="18" t="s">
        <v>13</v>
      </c>
      <c r="C6" s="19" t="s">
        <v>28</v>
      </c>
      <c r="D6" s="19" t="s">
        <v>29</v>
      </c>
      <c r="E6" s="12" t="n">
        <v>11.3</v>
      </c>
      <c r="F6" s="20" t="s">
        <v>30</v>
      </c>
      <c r="G6" s="21" t="s">
        <v>31</v>
      </c>
      <c r="H6" s="18"/>
      <c r="I6" s="19" t="str">
        <f aca="false">IF(AND(ISNUMBER(E6),ISNUMBER(H6)),H6-E6,"")</f>
        <v/>
      </c>
      <c r="J6" s="22"/>
      <c r="K6" s="22"/>
      <c r="L6" s="19" t="s">
        <v>32</v>
      </c>
    </row>
    <row r="7" customFormat="false" ht="15.75" hidden="false" customHeight="true" outlineLevel="0" collapsed="false">
      <c r="A7" s="4" t="n">
        <v>2022</v>
      </c>
      <c r="B7" s="4" t="s">
        <v>33</v>
      </c>
      <c r="C7" s="5" t="s">
        <v>34</v>
      </c>
      <c r="D7" s="5" t="s">
        <v>29</v>
      </c>
      <c r="E7" s="23" t="n">
        <v>12.7</v>
      </c>
      <c r="F7" s="7" t="s">
        <v>16</v>
      </c>
      <c r="G7" s="4" t="s">
        <v>17</v>
      </c>
      <c r="H7" s="4"/>
      <c r="I7" s="5" t="str">
        <f aca="false">IF(AND(ISNUMBER(E7),ISNUMBER(H7)),H7-E7,"")</f>
        <v/>
      </c>
      <c r="J7" s="24"/>
      <c r="K7" s="24"/>
      <c r="L7" s="5" t="s">
        <v>35</v>
      </c>
    </row>
    <row r="8" customFormat="false" ht="15.75" hidden="false" customHeight="true" outlineLevel="0" collapsed="false">
      <c r="A8" s="18" t="n">
        <v>2022</v>
      </c>
      <c r="B8" s="18" t="s">
        <v>33</v>
      </c>
      <c r="C8" s="19" t="s">
        <v>36</v>
      </c>
      <c r="D8" s="19" t="s">
        <v>29</v>
      </c>
      <c r="E8" s="12" t="n">
        <v>11.3</v>
      </c>
      <c r="F8" s="20" t="s">
        <v>30</v>
      </c>
      <c r="G8" s="21" t="s">
        <v>31</v>
      </c>
      <c r="H8" s="18" t="n">
        <v>11.56</v>
      </c>
      <c r="I8" s="19" t="n">
        <f aca="false">IF(AND(ISNUMBER(E8),ISNUMBER(H8)),H8-E8,"")</f>
        <v>0.26</v>
      </c>
      <c r="J8" s="25" t="n">
        <v>0.26</v>
      </c>
      <c r="K8" s="9" t="s">
        <v>18</v>
      </c>
      <c r="L8" s="19" t="s">
        <v>37</v>
      </c>
    </row>
    <row r="9" customFormat="false" ht="15.75" hidden="false" customHeight="true" outlineLevel="0" collapsed="false">
      <c r="A9" s="16" t="n">
        <v>2022</v>
      </c>
      <c r="B9" s="16" t="s">
        <v>33</v>
      </c>
      <c r="C9" s="17" t="s">
        <v>38</v>
      </c>
      <c r="D9" s="17" t="s">
        <v>21</v>
      </c>
      <c r="E9" s="12" t="n">
        <v>12.2</v>
      </c>
      <c r="F9" s="13" t="s">
        <v>22</v>
      </c>
      <c r="G9" s="16" t="s">
        <v>17</v>
      </c>
      <c r="H9" s="16" t="n">
        <v>11.95</v>
      </c>
      <c r="I9" s="17" t="n">
        <f aca="false">IF(AND(ISNUMBER(E9),ISNUMBER(H9)),H9-E9,"")</f>
        <v>-0.25</v>
      </c>
      <c r="J9" s="8" t="n">
        <v>-0.25</v>
      </c>
      <c r="K9" s="9" t="s">
        <v>18</v>
      </c>
      <c r="L9" s="17" t="s">
        <v>39</v>
      </c>
    </row>
    <row r="10" customFormat="false" ht="15.75" hidden="false" customHeight="true" outlineLevel="0" collapsed="false">
      <c r="A10" s="10" t="n">
        <v>2022</v>
      </c>
      <c r="B10" s="10" t="s">
        <v>33</v>
      </c>
      <c r="C10" s="11" t="s">
        <v>40</v>
      </c>
      <c r="D10" s="11" t="s">
        <v>26</v>
      </c>
      <c r="E10" s="26" t="n">
        <v>12.9</v>
      </c>
      <c r="F10" s="27" t="s">
        <v>16</v>
      </c>
      <c r="G10" s="10" t="s">
        <v>17</v>
      </c>
      <c r="H10" s="10" t="n">
        <v>12.27</v>
      </c>
      <c r="I10" s="11" t="n">
        <f aca="false">IF(AND(ISNUMBER(E10),ISNUMBER(H10)),H10-E10,"")</f>
        <v>-0.630000000000001</v>
      </c>
      <c r="J10" s="14" t="n">
        <v>-0.63</v>
      </c>
      <c r="K10" s="15" t="s">
        <v>23</v>
      </c>
      <c r="L10" s="11" t="s">
        <v>41</v>
      </c>
    </row>
    <row r="11" customFormat="false" ht="15.75" hidden="false" customHeight="true" outlineLevel="0" collapsed="false">
      <c r="A11" s="28" t="n">
        <v>2023</v>
      </c>
      <c r="B11" s="28" t="s">
        <v>42</v>
      </c>
      <c r="C11" s="29" t="s">
        <v>43</v>
      </c>
      <c r="D11" s="29" t="s">
        <v>21</v>
      </c>
      <c r="E11" s="30" t="n">
        <v>10.7</v>
      </c>
      <c r="F11" s="31" t="s">
        <v>30</v>
      </c>
      <c r="G11" s="32" t="s">
        <v>31</v>
      </c>
      <c r="H11" s="28"/>
      <c r="I11" s="29" t="str">
        <f aca="false">IF(AND(ISNUMBER(E11),ISNUMBER(H11)),H11-E11,"")</f>
        <v/>
      </c>
      <c r="J11" s="22"/>
      <c r="K11" s="22"/>
      <c r="L11" s="29" t="s">
        <v>44</v>
      </c>
    </row>
    <row r="12" customFormat="false" ht="15.75" hidden="false" customHeight="true" outlineLevel="0" collapsed="false">
      <c r="A12" s="18" t="n">
        <v>2023</v>
      </c>
      <c r="B12" s="18" t="s">
        <v>42</v>
      </c>
      <c r="C12" s="19" t="s">
        <v>45</v>
      </c>
      <c r="D12" s="19" t="s">
        <v>46</v>
      </c>
      <c r="E12" s="12" t="n">
        <v>10.5</v>
      </c>
      <c r="F12" s="20" t="s">
        <v>30</v>
      </c>
      <c r="G12" s="21" t="s">
        <v>31</v>
      </c>
      <c r="H12" s="18"/>
      <c r="I12" s="19" t="str">
        <f aca="false">IF(AND(ISNUMBER(E12),ISNUMBER(H12)),H12-E12,"")</f>
        <v/>
      </c>
      <c r="J12" s="22"/>
      <c r="K12" s="22"/>
      <c r="L12" s="19"/>
    </row>
    <row r="13" customFormat="false" ht="15.75" hidden="false" customHeight="true" outlineLevel="0" collapsed="false">
      <c r="A13" s="18" t="n">
        <v>2023</v>
      </c>
      <c r="B13" s="18" t="s">
        <v>42</v>
      </c>
      <c r="C13" s="19" t="s">
        <v>45</v>
      </c>
      <c r="D13" s="19" t="s">
        <v>47</v>
      </c>
      <c r="E13" s="12" t="n">
        <v>10.9</v>
      </c>
      <c r="F13" s="20" t="s">
        <v>30</v>
      </c>
      <c r="G13" s="21" t="s">
        <v>31</v>
      </c>
      <c r="H13" s="18"/>
      <c r="I13" s="19" t="str">
        <f aca="false">IF(AND(ISNUMBER(E13),ISNUMBER(H13)),H13-E13,"")</f>
        <v/>
      </c>
      <c r="J13" s="22"/>
      <c r="K13" s="22"/>
      <c r="L13" s="19"/>
    </row>
    <row r="14" customFormat="false" ht="15.75" hidden="false" customHeight="true" outlineLevel="0" collapsed="false">
      <c r="A14" s="18" t="n">
        <v>2023</v>
      </c>
      <c r="B14" s="18" t="s">
        <v>42</v>
      </c>
      <c r="C14" s="19" t="s">
        <v>48</v>
      </c>
      <c r="D14" s="19" t="s">
        <v>21</v>
      </c>
      <c r="E14" s="12" t="n">
        <v>10.6</v>
      </c>
      <c r="F14" s="20" t="s">
        <v>30</v>
      </c>
      <c r="G14" s="21" t="s">
        <v>31</v>
      </c>
      <c r="H14" s="18"/>
      <c r="I14" s="19" t="str">
        <f aca="false">IF(AND(ISNUMBER(E14),ISNUMBER(H14)),H14-E14,"")</f>
        <v/>
      </c>
      <c r="J14" s="22"/>
      <c r="K14" s="22"/>
      <c r="L14" s="19"/>
    </row>
    <row r="15" customFormat="false" ht="15.75" hidden="false" customHeight="true" outlineLevel="0" collapsed="false">
      <c r="A15" s="18" t="n">
        <v>2023</v>
      </c>
      <c r="B15" s="18" t="s">
        <v>42</v>
      </c>
      <c r="C15" s="19" t="s">
        <v>49</v>
      </c>
      <c r="D15" s="19" t="s">
        <v>26</v>
      </c>
      <c r="E15" s="12" t="n">
        <v>11.9</v>
      </c>
      <c r="F15" s="20" t="s">
        <v>30</v>
      </c>
      <c r="G15" s="21" t="s">
        <v>31</v>
      </c>
      <c r="H15" s="18"/>
      <c r="I15" s="19" t="str">
        <f aca="false">IF(AND(ISNUMBER(E15),ISNUMBER(H15)),H15-E15,"")</f>
        <v/>
      </c>
      <c r="J15" s="22"/>
      <c r="K15" s="22"/>
      <c r="L15" s="19" t="s">
        <v>50</v>
      </c>
    </row>
    <row r="16" customFormat="false" ht="15.75" hidden="false" customHeight="true" outlineLevel="0" collapsed="false">
      <c r="A16" s="18" t="n">
        <v>2023</v>
      </c>
      <c r="B16" s="18" t="s">
        <v>42</v>
      </c>
      <c r="C16" s="19" t="s">
        <v>51</v>
      </c>
      <c r="D16" s="19" t="s">
        <v>26</v>
      </c>
      <c r="E16" s="12" t="n">
        <v>11.3</v>
      </c>
      <c r="F16" s="20" t="s">
        <v>30</v>
      </c>
      <c r="G16" s="21" t="s">
        <v>31</v>
      </c>
      <c r="H16" s="18"/>
      <c r="I16" s="19" t="str">
        <f aca="false">IF(AND(ISNUMBER(E16),ISNUMBER(H16)),H16-E16,"")</f>
        <v/>
      </c>
      <c r="J16" s="22"/>
      <c r="K16" s="22"/>
      <c r="L16" s="19"/>
    </row>
    <row r="17" customFormat="false" ht="15.75" hidden="false" customHeight="true" outlineLevel="0" collapsed="false">
      <c r="A17" s="4" t="n">
        <v>2024</v>
      </c>
      <c r="B17" s="4" t="s">
        <v>52</v>
      </c>
      <c r="C17" s="5" t="s">
        <v>51</v>
      </c>
      <c r="D17" s="5" t="s">
        <v>26</v>
      </c>
      <c r="E17" s="30" t="n">
        <v>12</v>
      </c>
      <c r="F17" s="33" t="s">
        <v>22</v>
      </c>
      <c r="G17" s="4" t="s">
        <v>17</v>
      </c>
      <c r="H17" s="4" t="n">
        <v>11.33</v>
      </c>
      <c r="I17" s="5" t="n">
        <f aca="false">IF(AND(ISNUMBER(E17),ISNUMBER(H17)),H17-E17,"")</f>
        <v>-0.67</v>
      </c>
      <c r="J17" s="8" t="n">
        <v>-0.67</v>
      </c>
      <c r="K17" s="15" t="s">
        <v>23</v>
      </c>
      <c r="L17" s="5" t="s">
        <v>53</v>
      </c>
    </row>
    <row r="18" customFormat="false" ht="15.75" hidden="false" customHeight="true" outlineLevel="0" collapsed="false">
      <c r="A18" s="10" t="n">
        <v>2024</v>
      </c>
      <c r="B18" s="10" t="s">
        <v>52</v>
      </c>
      <c r="C18" s="11" t="s">
        <v>54</v>
      </c>
      <c r="D18" s="11" t="s">
        <v>26</v>
      </c>
      <c r="E18" s="26" t="n">
        <v>12.7</v>
      </c>
      <c r="F18" s="27" t="s">
        <v>16</v>
      </c>
      <c r="G18" s="10" t="s">
        <v>17</v>
      </c>
      <c r="H18" s="10" t="n">
        <v>11.33</v>
      </c>
      <c r="I18" s="11" t="n">
        <f aca="false">IF(AND(ISNUMBER(E18),ISNUMBER(H18)),H18-E18,"")</f>
        <v>-1.37</v>
      </c>
      <c r="J18" s="14" t="n">
        <v>-1.37</v>
      </c>
      <c r="K18" s="15" t="s">
        <v>23</v>
      </c>
      <c r="L18" s="11" t="s">
        <v>55</v>
      </c>
    </row>
    <row r="19" customFormat="false" ht="15.75" hidden="false" customHeight="true" outlineLevel="0" collapsed="false">
      <c r="A19" s="16" t="n">
        <v>2024</v>
      </c>
      <c r="B19" s="16" t="s">
        <v>52</v>
      </c>
      <c r="C19" s="17" t="s">
        <v>56</v>
      </c>
      <c r="D19" s="17" t="s">
        <v>26</v>
      </c>
      <c r="E19" s="12" t="n">
        <v>11.7</v>
      </c>
      <c r="F19" s="13" t="s">
        <v>22</v>
      </c>
      <c r="G19" s="16" t="s">
        <v>17</v>
      </c>
      <c r="H19" s="16" t="n">
        <v>11.33</v>
      </c>
      <c r="I19" s="17" t="n">
        <f aca="false">IF(AND(ISNUMBER(E19),ISNUMBER(H19)),H19-E19,"")</f>
        <v>-0.369999999999999</v>
      </c>
      <c r="J19" s="8" t="n">
        <v>-0.37</v>
      </c>
      <c r="K19" s="9" t="s">
        <v>18</v>
      </c>
      <c r="L19" s="17" t="s">
        <v>57</v>
      </c>
    </row>
    <row r="20" customFormat="false" ht="15.75" hidden="false" customHeight="true" outlineLevel="0" collapsed="false">
      <c r="A20" s="18" t="n">
        <v>2024</v>
      </c>
      <c r="B20" s="18" t="s">
        <v>52</v>
      </c>
      <c r="C20" s="19" t="s">
        <v>14</v>
      </c>
      <c r="D20" s="19" t="s">
        <v>47</v>
      </c>
      <c r="E20" s="12" t="n">
        <v>10.5</v>
      </c>
      <c r="F20" s="20" t="s">
        <v>30</v>
      </c>
      <c r="G20" s="21" t="s">
        <v>31</v>
      </c>
      <c r="H20" s="18" t="n">
        <v>11.34</v>
      </c>
      <c r="I20" s="19" t="n">
        <f aca="false">IF(AND(ISNUMBER(E20),ISNUMBER(H20)),H20-E20,"")</f>
        <v>0.84</v>
      </c>
      <c r="J20" s="25" t="n">
        <v>0.84</v>
      </c>
      <c r="K20" s="15" t="s">
        <v>23</v>
      </c>
      <c r="L20" s="19" t="s">
        <v>58</v>
      </c>
    </row>
    <row r="21" customFormat="false" ht="15.75" hidden="false" customHeight="true" outlineLevel="0" collapsed="false">
      <c r="A21" s="18" t="n">
        <v>2024</v>
      </c>
      <c r="B21" s="18" t="s">
        <v>52</v>
      </c>
      <c r="C21" s="19" t="s">
        <v>59</v>
      </c>
      <c r="D21" s="19" t="s">
        <v>47</v>
      </c>
      <c r="E21" s="12" t="n">
        <v>9.9</v>
      </c>
      <c r="F21" s="20" t="s">
        <v>30</v>
      </c>
      <c r="G21" s="21" t="s">
        <v>31</v>
      </c>
      <c r="H21" s="18" t="n">
        <v>11.34</v>
      </c>
      <c r="I21" s="19" t="n">
        <f aca="false">IF(AND(ISNUMBER(E21),ISNUMBER(H21)),H21-E21,"")</f>
        <v>1.44</v>
      </c>
      <c r="J21" s="25" t="n">
        <v>1.44</v>
      </c>
      <c r="K21" s="15" t="s">
        <v>23</v>
      </c>
      <c r="L21" s="19" t="s">
        <v>60</v>
      </c>
    </row>
    <row r="22" customFormat="false" ht="15.75" hidden="false" customHeight="true" outlineLevel="0" collapsed="false">
      <c r="A22" s="18" t="n">
        <v>2024</v>
      </c>
      <c r="B22" s="18" t="s">
        <v>52</v>
      </c>
      <c r="C22" s="19" t="s">
        <v>61</v>
      </c>
      <c r="D22" s="19" t="s">
        <v>62</v>
      </c>
      <c r="E22" s="12" t="n">
        <v>10.8</v>
      </c>
      <c r="F22" s="20" t="s">
        <v>30</v>
      </c>
      <c r="G22" s="21" t="s">
        <v>31</v>
      </c>
      <c r="H22" s="18" t="n">
        <v>12.83</v>
      </c>
      <c r="I22" s="19" t="n">
        <f aca="false">IF(AND(ISNUMBER(E22),ISNUMBER(H22)),H22-E22,"")</f>
        <v>2.03</v>
      </c>
      <c r="J22" s="25" t="n">
        <v>2.03</v>
      </c>
      <c r="K22" s="15" t="s">
        <v>23</v>
      </c>
      <c r="L22" s="19" t="s">
        <v>63</v>
      </c>
    </row>
    <row r="23" customFormat="false" ht="15.75" hidden="false" customHeight="true" outlineLevel="0" collapsed="false">
      <c r="A23" s="18" t="n">
        <v>2024</v>
      </c>
      <c r="B23" s="18" t="s">
        <v>52</v>
      </c>
      <c r="C23" s="19" t="s">
        <v>64</v>
      </c>
      <c r="D23" s="19" t="s">
        <v>21</v>
      </c>
      <c r="E23" s="12" t="n">
        <v>9.9</v>
      </c>
      <c r="F23" s="20" t="s">
        <v>30</v>
      </c>
      <c r="G23" s="21" t="s">
        <v>31</v>
      </c>
      <c r="H23" s="18" t="n">
        <v>12.84</v>
      </c>
      <c r="I23" s="19" t="n">
        <f aca="false">IF(AND(ISNUMBER(E23),ISNUMBER(H23)),H23-E23,"")</f>
        <v>2.94</v>
      </c>
      <c r="J23" s="25" t="n">
        <v>2.94</v>
      </c>
      <c r="K23" s="15" t="s">
        <v>23</v>
      </c>
      <c r="L23" s="19" t="s">
        <v>65</v>
      </c>
    </row>
    <row r="24" customFormat="false" ht="15.75" hidden="false" customHeight="true" outlineLevel="0" collapsed="false">
      <c r="A24" s="18" t="n">
        <v>2024</v>
      </c>
      <c r="B24" s="18" t="s">
        <v>52</v>
      </c>
      <c r="C24" s="19" t="s">
        <v>66</v>
      </c>
      <c r="D24" s="19" t="s">
        <v>21</v>
      </c>
      <c r="E24" s="12" t="n">
        <v>10.1</v>
      </c>
      <c r="F24" s="20" t="s">
        <v>30</v>
      </c>
      <c r="G24" s="21" t="s">
        <v>31</v>
      </c>
      <c r="H24" s="18" t="n">
        <v>12.84</v>
      </c>
      <c r="I24" s="19" t="n">
        <f aca="false">IF(AND(ISNUMBER(E24),ISNUMBER(H24)),H24-E24,"")</f>
        <v>2.74</v>
      </c>
      <c r="J24" s="25" t="n">
        <v>2.74</v>
      </c>
      <c r="K24" s="15" t="s">
        <v>23</v>
      </c>
      <c r="L24" s="19" t="s">
        <v>67</v>
      </c>
    </row>
    <row r="25" customFormat="false" ht="15.75" hidden="false" customHeight="true" outlineLevel="0" collapsed="false">
      <c r="A25" s="18" t="n">
        <v>2024</v>
      </c>
      <c r="B25" s="18" t="s">
        <v>52</v>
      </c>
      <c r="C25" s="19" t="s">
        <v>68</v>
      </c>
      <c r="D25" s="19" t="s">
        <v>46</v>
      </c>
      <c r="E25" s="12" t="n">
        <v>10.1</v>
      </c>
      <c r="F25" s="20" t="s">
        <v>30</v>
      </c>
      <c r="G25" s="21" t="s">
        <v>31</v>
      </c>
      <c r="H25" s="18" t="n">
        <v>12.53</v>
      </c>
      <c r="I25" s="19" t="n">
        <f aca="false">IF(AND(ISNUMBER(E25),ISNUMBER(H25)),H25-E25,"")</f>
        <v>2.43</v>
      </c>
      <c r="J25" s="25" t="n">
        <v>2.43</v>
      </c>
      <c r="K25" s="15" t="s">
        <v>23</v>
      </c>
      <c r="L25" s="19" t="s">
        <v>69</v>
      </c>
    </row>
    <row r="26" customFormat="false" ht="15.75" hidden="false" customHeight="true" outlineLevel="0" collapsed="false">
      <c r="A26" s="10" t="n">
        <v>2024</v>
      </c>
      <c r="B26" s="10" t="s">
        <v>52</v>
      </c>
      <c r="C26" s="11" t="s">
        <v>70</v>
      </c>
      <c r="D26" s="11" t="s">
        <v>21</v>
      </c>
      <c r="E26" s="12" t="n">
        <v>11.8</v>
      </c>
      <c r="F26" s="13" t="s">
        <v>22</v>
      </c>
      <c r="G26" s="10" t="s">
        <v>17</v>
      </c>
      <c r="H26" s="10" t="n">
        <v>12.84</v>
      </c>
      <c r="I26" s="11" t="n">
        <f aca="false">IF(AND(ISNUMBER(E26),ISNUMBER(H26)),H26-E26,"")</f>
        <v>1.04</v>
      </c>
      <c r="J26" s="14" t="n">
        <v>1.04</v>
      </c>
      <c r="K26" s="15" t="s">
        <v>23</v>
      </c>
      <c r="L26" s="11" t="s">
        <v>71</v>
      </c>
    </row>
    <row r="27" customFormat="false" ht="15.75" hidden="false" customHeight="true" outlineLevel="0" collapsed="false">
      <c r="A27" s="4" t="n">
        <v>2025</v>
      </c>
      <c r="B27" s="4" t="s">
        <v>72</v>
      </c>
      <c r="C27" s="5" t="s">
        <v>73</v>
      </c>
      <c r="D27" s="5" t="s">
        <v>26</v>
      </c>
      <c r="E27" s="23" t="n">
        <v>12.5</v>
      </c>
      <c r="F27" s="7" t="s">
        <v>16</v>
      </c>
      <c r="G27" s="4" t="s">
        <v>17</v>
      </c>
      <c r="H27" s="4" t="n">
        <v>14.14</v>
      </c>
      <c r="I27" s="5" t="n">
        <f aca="false">IF(AND(ISNUMBER(E27),ISNUMBER(H27)),H27-E27,"")</f>
        <v>1.64</v>
      </c>
      <c r="J27" s="8" t="n">
        <v>1.64</v>
      </c>
      <c r="K27" s="15" t="s">
        <v>23</v>
      </c>
      <c r="L27" s="5" t="s">
        <v>74</v>
      </c>
    </row>
    <row r="28" customFormat="false" ht="15.75" hidden="false" customHeight="true" outlineLevel="0" collapsed="false">
      <c r="A28" s="10" t="n">
        <v>2025</v>
      </c>
      <c r="B28" s="10" t="s">
        <v>72</v>
      </c>
      <c r="C28" s="11" t="s">
        <v>75</v>
      </c>
      <c r="D28" s="11" t="s">
        <v>26</v>
      </c>
      <c r="E28" s="12" t="n">
        <v>12.1</v>
      </c>
      <c r="F28" s="13" t="s">
        <v>22</v>
      </c>
      <c r="G28" s="10" t="s">
        <v>17</v>
      </c>
      <c r="H28" s="10" t="n">
        <v>14.14</v>
      </c>
      <c r="I28" s="11" t="n">
        <f aca="false">IF(AND(ISNUMBER(E28),ISNUMBER(H28)),H28-E28,"")</f>
        <v>2.04</v>
      </c>
      <c r="J28" s="14" t="n">
        <v>2.04</v>
      </c>
      <c r="K28" s="15" t="s">
        <v>23</v>
      </c>
      <c r="L28" s="11" t="s">
        <v>76</v>
      </c>
    </row>
    <row r="29" customFormat="false" ht="15.75" hidden="false" customHeight="true" outlineLevel="0" collapsed="false">
      <c r="A29" s="16" t="n">
        <v>2025</v>
      </c>
      <c r="B29" s="16" t="s">
        <v>72</v>
      </c>
      <c r="C29" s="17" t="s">
        <v>77</v>
      </c>
      <c r="D29" s="17" t="s">
        <v>47</v>
      </c>
      <c r="E29" s="12" t="n">
        <v>11.7</v>
      </c>
      <c r="F29" s="13" t="s">
        <v>22</v>
      </c>
      <c r="G29" s="16" t="s">
        <v>17</v>
      </c>
      <c r="H29" s="16" t="n">
        <v>12.56</v>
      </c>
      <c r="I29" s="17" t="n">
        <f aca="false">IF(AND(ISNUMBER(E29),ISNUMBER(H29)),H29-E29,"")</f>
        <v>0.860000000000001</v>
      </c>
      <c r="J29" s="8" t="n">
        <v>0.86</v>
      </c>
      <c r="K29" s="15" t="s">
        <v>23</v>
      </c>
      <c r="L29" s="17"/>
    </row>
    <row r="30" customFormat="false" ht="15.75" hidden="false" customHeight="true" outlineLevel="0" collapsed="false">
      <c r="A30" s="10" t="n">
        <v>2025</v>
      </c>
      <c r="B30" s="10" t="s">
        <v>72</v>
      </c>
      <c r="C30" s="11" t="s">
        <v>78</v>
      </c>
      <c r="D30" s="11" t="s">
        <v>47</v>
      </c>
      <c r="E30" s="12" t="n">
        <v>12.1</v>
      </c>
      <c r="F30" s="13" t="s">
        <v>22</v>
      </c>
      <c r="G30" s="10" t="s">
        <v>17</v>
      </c>
      <c r="H30" s="10" t="n">
        <v>12.56</v>
      </c>
      <c r="I30" s="11" t="n">
        <f aca="false">IF(AND(ISNUMBER(E30),ISNUMBER(H30)),H30-E30,"")</f>
        <v>0.460000000000001</v>
      </c>
      <c r="J30" s="14" t="n">
        <v>0.46</v>
      </c>
      <c r="K30" s="9" t="s">
        <v>18</v>
      </c>
      <c r="L30" s="11"/>
    </row>
    <row r="31" customFormat="false" ht="15.75" hidden="false" customHeight="true" outlineLevel="0" collapsed="false">
      <c r="A31" s="16" t="n">
        <v>2025</v>
      </c>
      <c r="B31" s="16" t="s">
        <v>72</v>
      </c>
      <c r="C31" s="17" t="s">
        <v>79</v>
      </c>
      <c r="D31" s="17" t="s">
        <v>21</v>
      </c>
      <c r="E31" s="12" t="n">
        <v>12.3</v>
      </c>
      <c r="F31" s="13" t="s">
        <v>22</v>
      </c>
      <c r="G31" s="16" t="s">
        <v>17</v>
      </c>
      <c r="H31" s="16"/>
      <c r="I31" s="17" t="str">
        <f aca="false">IF(AND(ISNUMBER(E31),ISNUMBER(H31)),H31-E31,"")</f>
        <v/>
      </c>
      <c r="J31" s="24"/>
      <c r="K31" s="24"/>
      <c r="L31" s="17"/>
    </row>
    <row r="32" customFormat="false" ht="15.75" hidden="false" customHeight="true" outlineLevel="0" collapsed="false">
      <c r="A32" s="10" t="n">
        <v>2025</v>
      </c>
      <c r="B32" s="10" t="s">
        <v>72</v>
      </c>
      <c r="C32" s="11" t="s">
        <v>80</v>
      </c>
      <c r="D32" s="11" t="s">
        <v>21</v>
      </c>
      <c r="E32" s="12" t="n">
        <v>12.1</v>
      </c>
      <c r="F32" s="13" t="s">
        <v>22</v>
      </c>
      <c r="G32" s="10" t="s">
        <v>17</v>
      </c>
      <c r="H32" s="10"/>
      <c r="I32" s="11" t="str">
        <f aca="false">IF(AND(ISNUMBER(E32),ISNUMBER(H32)),H32-E32,"")</f>
        <v/>
      </c>
      <c r="J32" s="34"/>
      <c r="K32" s="34"/>
      <c r="L32" s="11"/>
    </row>
    <row r="33" customFormat="false" ht="15.75" hidden="false" customHeight="true" outlineLevel="0" collapsed="false">
      <c r="A33" s="16" t="n">
        <v>2025</v>
      </c>
      <c r="B33" s="16" t="s">
        <v>72</v>
      </c>
      <c r="C33" s="17" t="s">
        <v>81</v>
      </c>
      <c r="D33" s="17" t="s">
        <v>47</v>
      </c>
      <c r="E33" s="35" t="n">
        <v>13.1</v>
      </c>
      <c r="F33" s="27" t="s">
        <v>16</v>
      </c>
      <c r="G33" s="16" t="s">
        <v>17</v>
      </c>
      <c r="H33" s="16" t="n">
        <v>12.56</v>
      </c>
      <c r="I33" s="17" t="n">
        <f aca="false">IF(AND(ISNUMBER(E33),ISNUMBER(H33)),H33-E33,"")</f>
        <v>-0.539999999999999</v>
      </c>
      <c r="J33" s="8" t="n">
        <v>-0.54</v>
      </c>
      <c r="K33" s="15" t="s">
        <v>23</v>
      </c>
      <c r="L33" s="17" t="s">
        <v>82</v>
      </c>
    </row>
    <row r="34" customFormat="false" ht="15.75" hidden="false" customHeight="true" outlineLevel="0" collapsed="false">
      <c r="A34" s="10" t="n">
        <v>2025</v>
      </c>
      <c r="B34" s="10" t="s">
        <v>72</v>
      </c>
      <c r="C34" s="11" t="s">
        <v>83</v>
      </c>
      <c r="D34" s="11" t="s">
        <v>84</v>
      </c>
      <c r="E34" s="35" t="n">
        <v>13.4</v>
      </c>
      <c r="F34" s="27" t="s">
        <v>16</v>
      </c>
      <c r="G34" s="10" t="s">
        <v>17</v>
      </c>
      <c r="H34" s="10" t="n">
        <v>14.1</v>
      </c>
      <c r="I34" s="11" t="n">
        <f aca="false">IF(AND(ISNUMBER(E34),ISNUMBER(H34)),H34-E34,"")</f>
        <v>0.699999999999999</v>
      </c>
      <c r="J34" s="14" t="n">
        <v>0.7</v>
      </c>
      <c r="K34" s="15" t="s">
        <v>23</v>
      </c>
      <c r="L34" s="11" t="s">
        <v>85</v>
      </c>
    </row>
    <row r="35" customFormat="false" ht="15.75" hidden="false" customHeight="true" outlineLevel="0" collapsed="false">
      <c r="A35" s="16" t="n">
        <v>2025</v>
      </c>
      <c r="B35" s="16" t="s">
        <v>72</v>
      </c>
      <c r="C35" s="17" t="s">
        <v>86</v>
      </c>
      <c r="D35" s="17" t="s">
        <v>87</v>
      </c>
      <c r="E35" s="26" t="n">
        <v>12.6</v>
      </c>
      <c r="F35" s="13" t="s">
        <v>22</v>
      </c>
      <c r="G35" s="16" t="s">
        <v>17</v>
      </c>
      <c r="H35" s="16"/>
      <c r="I35" s="17" t="str">
        <f aca="false">IF(AND(ISNUMBER(E35),ISNUMBER(H35)),H35-E35,"")</f>
        <v/>
      </c>
      <c r="J35" s="24"/>
      <c r="K35" s="24"/>
      <c r="L35" s="17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1"/>
    <col collapsed="false" customWidth="true" hidden="false" outlineLevel="0" max="6" min="4" style="1" width="12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38"/>
  </cols>
  <sheetData>
    <row r="1" customFormat="false" ht="21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42" hidden="false" customHeight="true" outlineLevel="0" collapsed="false">
      <c r="A2" s="36" t="s">
        <v>1</v>
      </c>
      <c r="B2" s="36" t="s">
        <v>89</v>
      </c>
      <c r="C2" s="36" t="s">
        <v>90</v>
      </c>
      <c r="D2" s="36" t="s">
        <v>91</v>
      </c>
      <c r="E2" s="36" t="s">
        <v>92</v>
      </c>
      <c r="F2" s="36" t="s">
        <v>93</v>
      </c>
      <c r="G2" s="36" t="s">
        <v>94</v>
      </c>
      <c r="H2" s="36" t="s">
        <v>95</v>
      </c>
      <c r="I2" s="36" t="s">
        <v>96</v>
      </c>
      <c r="J2" s="36" t="s">
        <v>12</v>
      </c>
    </row>
    <row r="3" customFormat="false" ht="18" hidden="false" customHeight="true" outlineLevel="0" collapsed="false">
      <c r="A3" s="16" t="n">
        <v>2021</v>
      </c>
      <c r="B3" s="16" t="n">
        <v>4</v>
      </c>
      <c r="C3" s="16" t="n">
        <v>3</v>
      </c>
      <c r="D3" s="16" t="n">
        <v>12.35</v>
      </c>
      <c r="E3" s="16" t="n">
        <v>13.44</v>
      </c>
      <c r="F3" s="16" t="s">
        <v>97</v>
      </c>
      <c r="G3" s="16" t="s">
        <v>98</v>
      </c>
      <c r="H3" s="17" t="s">
        <v>99</v>
      </c>
      <c r="I3" s="16" t="n">
        <v>0</v>
      </c>
      <c r="J3" s="17" t="s">
        <v>100</v>
      </c>
    </row>
    <row r="4" customFormat="false" ht="18" hidden="false" customHeight="true" outlineLevel="0" collapsed="false">
      <c r="A4" s="10" t="n">
        <v>2022</v>
      </c>
      <c r="B4" s="10" t="n">
        <v>4</v>
      </c>
      <c r="C4" s="10" t="n">
        <v>3</v>
      </c>
      <c r="D4" s="10" t="n">
        <v>12.28</v>
      </c>
      <c r="E4" s="10" t="n">
        <v>11.93</v>
      </c>
      <c r="F4" s="10" t="s">
        <v>101</v>
      </c>
      <c r="G4" s="10" t="s">
        <v>102</v>
      </c>
      <c r="H4" s="11" t="s">
        <v>103</v>
      </c>
      <c r="I4" s="10" t="n">
        <v>1</v>
      </c>
      <c r="J4" s="11" t="s">
        <v>104</v>
      </c>
    </row>
    <row r="5" customFormat="false" ht="18" hidden="false" customHeight="true" outlineLevel="0" collapsed="false">
      <c r="A5" s="16" t="n">
        <v>2023</v>
      </c>
      <c r="B5" s="16" t="n">
        <v>6</v>
      </c>
      <c r="C5" s="16" t="n">
        <v>0</v>
      </c>
      <c r="D5" s="16" t="n">
        <v>10.82</v>
      </c>
      <c r="E5" s="16" t="s">
        <v>105</v>
      </c>
      <c r="F5" s="16" t="s">
        <v>105</v>
      </c>
      <c r="G5" s="16" t="s">
        <v>106</v>
      </c>
      <c r="H5" s="17" t="s">
        <v>107</v>
      </c>
      <c r="I5" s="16" t="n">
        <v>6</v>
      </c>
      <c r="J5" s="17" t="s">
        <v>108</v>
      </c>
    </row>
    <row r="6" customFormat="false" ht="18" hidden="false" customHeight="true" outlineLevel="0" collapsed="false">
      <c r="A6" s="10" t="n">
        <v>2024</v>
      </c>
      <c r="B6" s="10" t="n">
        <v>10</v>
      </c>
      <c r="C6" s="10" t="n">
        <v>9</v>
      </c>
      <c r="D6" s="10" t="n">
        <v>10.88</v>
      </c>
      <c r="E6" s="10" t="n">
        <v>12.12</v>
      </c>
      <c r="F6" s="10" t="s">
        <v>109</v>
      </c>
      <c r="G6" s="10" t="s">
        <v>110</v>
      </c>
      <c r="H6" s="11" t="s">
        <v>111</v>
      </c>
      <c r="I6" s="10" t="n">
        <v>7</v>
      </c>
      <c r="J6" s="11" t="s">
        <v>112</v>
      </c>
    </row>
    <row r="7" customFormat="false" ht="18" hidden="false" customHeight="true" outlineLevel="0" collapsed="false">
      <c r="A7" s="16" t="n">
        <v>2025</v>
      </c>
      <c r="B7" s="16" t="n">
        <v>9</v>
      </c>
      <c r="C7" s="16" t="n">
        <v>5</v>
      </c>
      <c r="D7" s="16" t="n">
        <v>12.43</v>
      </c>
      <c r="E7" s="16" t="n">
        <v>13.5</v>
      </c>
      <c r="F7" s="16" t="s">
        <v>113</v>
      </c>
      <c r="G7" s="16" t="s">
        <v>114</v>
      </c>
      <c r="H7" s="17" t="s">
        <v>99</v>
      </c>
      <c r="I7" s="16" t="n">
        <v>0</v>
      </c>
      <c r="J7" s="17" t="s">
        <v>115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6" min="4" style="1" width="13"/>
    <col collapsed="false" customWidth="true" hidden="false" outlineLevel="0" max="7" min="7" style="1" width="20"/>
    <col collapsed="false" customWidth="true" hidden="false" outlineLevel="0" max="8" min="8" style="1" width="45"/>
  </cols>
  <sheetData>
    <row r="1" customFormat="false" ht="21.75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36" t="s">
        <v>4</v>
      </c>
      <c r="B2" s="36" t="s">
        <v>117</v>
      </c>
      <c r="C2" s="36" t="s">
        <v>118</v>
      </c>
      <c r="D2" s="36" t="s">
        <v>91</v>
      </c>
      <c r="E2" s="36" t="s">
        <v>92</v>
      </c>
      <c r="F2" s="36" t="s">
        <v>93</v>
      </c>
      <c r="G2" s="36" t="s">
        <v>95</v>
      </c>
      <c r="H2" s="36" t="s">
        <v>12</v>
      </c>
    </row>
    <row r="3" customFormat="false" ht="30" hidden="false" customHeight="true" outlineLevel="0" collapsed="false">
      <c r="A3" s="16" t="s">
        <v>26</v>
      </c>
      <c r="B3" s="16" t="s">
        <v>119</v>
      </c>
      <c r="C3" s="16" t="n">
        <v>9</v>
      </c>
      <c r="D3" s="16" t="n">
        <v>12.08</v>
      </c>
      <c r="E3" s="16" t="n">
        <v>12.57</v>
      </c>
      <c r="F3" s="16" t="s">
        <v>120</v>
      </c>
      <c r="G3" s="17" t="s">
        <v>121</v>
      </c>
      <c r="H3" s="17" t="s">
        <v>122</v>
      </c>
    </row>
    <row r="4" customFormat="false" ht="30" hidden="false" customHeight="true" outlineLevel="0" collapsed="false">
      <c r="A4" s="10" t="s">
        <v>21</v>
      </c>
      <c r="B4" s="10" t="s">
        <v>123</v>
      </c>
      <c r="C4" s="10" t="n">
        <v>6</v>
      </c>
      <c r="D4" s="10" t="n">
        <v>11.42</v>
      </c>
      <c r="E4" s="10" t="n">
        <v>13.28</v>
      </c>
      <c r="F4" s="10" t="s">
        <v>124</v>
      </c>
      <c r="G4" s="11" t="s">
        <v>111</v>
      </c>
      <c r="H4" s="11" t="s">
        <v>125</v>
      </c>
    </row>
    <row r="5" customFormat="false" ht="30" hidden="false" customHeight="true" outlineLevel="0" collapsed="false">
      <c r="A5" s="16" t="s">
        <v>47</v>
      </c>
      <c r="B5" s="16" t="s">
        <v>126</v>
      </c>
      <c r="C5" s="16" t="n">
        <v>6</v>
      </c>
      <c r="D5" s="16" t="n">
        <v>11.37</v>
      </c>
      <c r="E5" s="16" t="n">
        <v>11.95</v>
      </c>
      <c r="F5" s="16" t="s">
        <v>127</v>
      </c>
      <c r="G5" s="17" t="s">
        <v>121</v>
      </c>
      <c r="H5" s="17" t="s">
        <v>128</v>
      </c>
    </row>
    <row r="6" customFormat="false" ht="30" hidden="false" customHeight="true" outlineLevel="0" collapsed="false">
      <c r="A6" s="10" t="s">
        <v>129</v>
      </c>
      <c r="B6" s="10" t="s">
        <v>126</v>
      </c>
      <c r="C6" s="10" t="n">
        <v>3</v>
      </c>
      <c r="D6" s="10" t="n">
        <v>12.53</v>
      </c>
      <c r="E6" s="10" t="n">
        <v>13.51</v>
      </c>
      <c r="F6" s="10" t="s">
        <v>130</v>
      </c>
      <c r="G6" s="11" t="s">
        <v>131</v>
      </c>
      <c r="H6" s="11" t="s">
        <v>132</v>
      </c>
    </row>
    <row r="7" customFormat="false" ht="30" hidden="false" customHeight="true" outlineLevel="0" collapsed="false">
      <c r="A7" s="16" t="s">
        <v>29</v>
      </c>
      <c r="B7" s="16" t="s">
        <v>133</v>
      </c>
      <c r="C7" s="16" t="n">
        <v>2</v>
      </c>
      <c r="D7" s="16" t="n">
        <v>11.8</v>
      </c>
      <c r="E7" s="16" t="n">
        <v>11.56</v>
      </c>
      <c r="F7" s="16" t="s">
        <v>134</v>
      </c>
      <c r="G7" s="17" t="s">
        <v>135</v>
      </c>
      <c r="H7" s="17" t="s">
        <v>136</v>
      </c>
    </row>
    <row r="8" customFormat="false" ht="30" hidden="false" customHeight="true" outlineLevel="0" collapsed="false">
      <c r="A8" s="10" t="s">
        <v>46</v>
      </c>
      <c r="B8" s="10" t="s">
        <v>137</v>
      </c>
      <c r="C8" s="10" t="n">
        <v>1</v>
      </c>
      <c r="D8" s="10" t="n">
        <v>10.1</v>
      </c>
      <c r="E8" s="10" t="n">
        <v>12.53</v>
      </c>
      <c r="F8" s="10" t="s">
        <v>138</v>
      </c>
      <c r="G8" s="11" t="s">
        <v>139</v>
      </c>
      <c r="H8" s="11" t="s">
        <v>140</v>
      </c>
    </row>
    <row r="9" customFormat="false" ht="30" hidden="false" customHeight="true" outlineLevel="0" collapsed="false">
      <c r="A9" s="16" t="s">
        <v>141</v>
      </c>
      <c r="B9" s="16" t="s">
        <v>142</v>
      </c>
      <c r="C9" s="16" t="n">
        <v>1</v>
      </c>
      <c r="D9" s="16" t="n">
        <v>13.4</v>
      </c>
      <c r="E9" s="16" t="n">
        <v>13.6</v>
      </c>
      <c r="F9" s="16" t="s">
        <v>143</v>
      </c>
      <c r="G9" s="17" t="s">
        <v>144</v>
      </c>
      <c r="H9" s="17" t="s">
        <v>145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7" min="6" style="1" width="14"/>
    <col collapsed="false" customWidth="true" hidden="false" outlineLevel="0" max="8" min="8" style="1" width="13"/>
    <col collapsed="false" customWidth="true" hidden="false" outlineLevel="0" max="9" min="9" style="1" width="40"/>
  </cols>
  <sheetData>
    <row r="1" customFormat="false" ht="21.7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  <c r="I1" s="2"/>
    </row>
    <row r="2" customFormat="false" ht="36" hidden="false" customHeight="true" outlineLevel="0" collapsed="false">
      <c r="A2" s="3" t="s">
        <v>1</v>
      </c>
      <c r="B2" s="3" t="s">
        <v>147</v>
      </c>
      <c r="C2" s="3" t="s">
        <v>4</v>
      </c>
      <c r="D2" s="3" t="s">
        <v>5</v>
      </c>
      <c r="E2" s="3" t="s">
        <v>148</v>
      </c>
      <c r="F2" s="3" t="s">
        <v>8</v>
      </c>
      <c r="G2" s="3" t="s">
        <v>10</v>
      </c>
      <c r="H2" s="3" t="s">
        <v>149</v>
      </c>
      <c r="I2" s="3" t="s">
        <v>12</v>
      </c>
    </row>
    <row r="3" customFormat="false" ht="19.5" hidden="false" customHeight="true" outlineLevel="0" collapsed="false">
      <c r="A3" s="18" t="n">
        <v>2022</v>
      </c>
      <c r="B3" s="19" t="s">
        <v>36</v>
      </c>
      <c r="C3" s="19" t="s">
        <v>29</v>
      </c>
      <c r="D3" s="12" t="n">
        <v>11.3</v>
      </c>
      <c r="E3" s="20" t="s">
        <v>30</v>
      </c>
      <c r="F3" s="18" t="n">
        <v>11.56</v>
      </c>
      <c r="G3" s="18" t="s">
        <v>150</v>
      </c>
      <c r="H3" s="37" t="s">
        <v>17</v>
      </c>
      <c r="I3" s="19" t="s">
        <v>151</v>
      </c>
    </row>
    <row r="4" customFormat="false" ht="19.5" hidden="false" customHeight="true" outlineLevel="0" collapsed="false">
      <c r="A4" s="10" t="n">
        <v>2024</v>
      </c>
      <c r="B4" s="11" t="s">
        <v>14</v>
      </c>
      <c r="C4" s="11" t="s">
        <v>47</v>
      </c>
      <c r="D4" s="12" t="n">
        <v>10.5</v>
      </c>
      <c r="E4" s="20" t="s">
        <v>30</v>
      </c>
      <c r="F4" s="10" t="n">
        <v>11.34</v>
      </c>
      <c r="G4" s="10" t="s">
        <v>152</v>
      </c>
      <c r="H4" s="37" t="s">
        <v>17</v>
      </c>
      <c r="I4" s="11" t="s">
        <v>153</v>
      </c>
    </row>
    <row r="5" customFormat="false" ht="19.5" hidden="false" customHeight="true" outlineLevel="0" collapsed="false">
      <c r="A5" s="18" t="n">
        <v>2024</v>
      </c>
      <c r="B5" s="19" t="s">
        <v>59</v>
      </c>
      <c r="C5" s="19" t="s">
        <v>47</v>
      </c>
      <c r="D5" s="12" t="n">
        <v>9.9</v>
      </c>
      <c r="E5" s="20" t="s">
        <v>30</v>
      </c>
      <c r="F5" s="18" t="n">
        <v>11.34</v>
      </c>
      <c r="G5" s="18" t="s">
        <v>154</v>
      </c>
      <c r="H5" s="37" t="s">
        <v>17</v>
      </c>
      <c r="I5" s="19" t="s">
        <v>155</v>
      </c>
    </row>
    <row r="6" customFormat="false" ht="19.5" hidden="false" customHeight="true" outlineLevel="0" collapsed="false">
      <c r="A6" s="10" t="n">
        <v>2024</v>
      </c>
      <c r="B6" s="11" t="s">
        <v>61</v>
      </c>
      <c r="C6" s="11" t="s">
        <v>62</v>
      </c>
      <c r="D6" s="12" t="n">
        <v>10.8</v>
      </c>
      <c r="E6" s="20" t="s">
        <v>30</v>
      </c>
      <c r="F6" s="10" t="n">
        <v>12.83</v>
      </c>
      <c r="G6" s="10" t="s">
        <v>156</v>
      </c>
      <c r="H6" s="35" t="s">
        <v>31</v>
      </c>
      <c r="I6" s="11" t="s">
        <v>157</v>
      </c>
    </row>
    <row r="7" customFormat="false" ht="19.5" hidden="false" customHeight="true" outlineLevel="0" collapsed="false">
      <c r="A7" s="18" t="n">
        <v>2024</v>
      </c>
      <c r="B7" s="19" t="s">
        <v>64</v>
      </c>
      <c r="C7" s="19" t="s">
        <v>21</v>
      </c>
      <c r="D7" s="12" t="n">
        <v>9.9</v>
      </c>
      <c r="E7" s="20" t="s">
        <v>30</v>
      </c>
      <c r="F7" s="18" t="n">
        <v>12.84</v>
      </c>
      <c r="G7" s="18" t="s">
        <v>158</v>
      </c>
      <c r="H7" s="35" t="s">
        <v>31</v>
      </c>
      <c r="I7" s="19" t="s">
        <v>159</v>
      </c>
    </row>
    <row r="8" customFormat="false" ht="19.5" hidden="false" customHeight="true" outlineLevel="0" collapsed="false">
      <c r="A8" s="10" t="n">
        <v>2024</v>
      </c>
      <c r="B8" s="11" t="s">
        <v>66</v>
      </c>
      <c r="C8" s="11" t="s">
        <v>21</v>
      </c>
      <c r="D8" s="12" t="n">
        <v>10.1</v>
      </c>
      <c r="E8" s="20" t="s">
        <v>30</v>
      </c>
      <c r="F8" s="10" t="n">
        <v>12.84</v>
      </c>
      <c r="G8" s="10" t="s">
        <v>160</v>
      </c>
      <c r="H8" s="35" t="s">
        <v>31</v>
      </c>
      <c r="I8" s="11" t="s">
        <v>161</v>
      </c>
    </row>
    <row r="9" customFormat="false" ht="19.5" hidden="false" customHeight="true" outlineLevel="0" collapsed="false">
      <c r="A9" s="18" t="n">
        <v>2024</v>
      </c>
      <c r="B9" s="19" t="s">
        <v>68</v>
      </c>
      <c r="C9" s="19" t="s">
        <v>46</v>
      </c>
      <c r="D9" s="12" t="n">
        <v>10.1</v>
      </c>
      <c r="E9" s="20" t="s">
        <v>30</v>
      </c>
      <c r="F9" s="18" t="n">
        <v>12.53</v>
      </c>
      <c r="G9" s="18" t="s">
        <v>138</v>
      </c>
      <c r="H9" s="35" t="s">
        <v>31</v>
      </c>
      <c r="I9" s="19" t="s">
        <v>162</v>
      </c>
    </row>
    <row r="10" customFormat="false" ht="19.5" hidden="false" customHeight="true" outlineLevel="0" collapsed="false"/>
    <row r="11" customFormat="false" ht="19.5" hidden="false" customHeight="true" outlineLevel="0" collapsed="false">
      <c r="A11" s="38" t="s">
        <v>163</v>
      </c>
      <c r="B11" s="38"/>
      <c r="C11" s="38"/>
      <c r="D11" s="38"/>
      <c r="E11" s="38"/>
      <c r="F11" s="38"/>
      <c r="G11" s="38"/>
      <c r="H11" s="38"/>
      <c r="I11" s="38"/>
    </row>
    <row r="12" customFormat="false" ht="18" hidden="false" customHeight="true" outlineLevel="0" collapsed="false">
      <c r="A12" s="39" t="s">
        <v>164</v>
      </c>
      <c r="B12" s="39"/>
      <c r="C12" s="39"/>
      <c r="D12" s="39"/>
      <c r="E12" s="39"/>
      <c r="F12" s="39"/>
      <c r="G12" s="39"/>
      <c r="H12" s="39"/>
      <c r="I12" s="39"/>
    </row>
    <row r="13" customFormat="false" ht="18" hidden="false" customHeight="true" outlineLevel="0" collapsed="false">
      <c r="A13" s="39" t="s">
        <v>165</v>
      </c>
      <c r="B13" s="39"/>
      <c r="C13" s="39"/>
      <c r="D13" s="39"/>
      <c r="E13" s="39"/>
      <c r="F13" s="39"/>
      <c r="G13" s="39"/>
      <c r="H13" s="39"/>
      <c r="I13" s="39"/>
    </row>
    <row r="14" customFormat="false" ht="18" hidden="false" customHeight="true" outlineLevel="0" collapsed="false">
      <c r="A14" s="39" t="s">
        <v>166</v>
      </c>
      <c r="B14" s="39"/>
      <c r="C14" s="39"/>
      <c r="D14" s="39"/>
      <c r="E14" s="39"/>
      <c r="F14" s="39"/>
      <c r="G14" s="39"/>
      <c r="H14" s="39"/>
      <c r="I14" s="39"/>
    </row>
    <row r="15" customFormat="false" ht="18" hidden="false" customHeight="true" outlineLevel="0" collapsed="false">
      <c r="A15" s="39" t="s">
        <v>167</v>
      </c>
      <c r="B15" s="39"/>
      <c r="C15" s="39"/>
      <c r="D15" s="39"/>
      <c r="E15" s="39"/>
      <c r="F15" s="39"/>
      <c r="G15" s="39"/>
      <c r="H15" s="39"/>
      <c r="I15" s="39"/>
    </row>
    <row r="16" customFormat="false" ht="18" hidden="false" customHeight="true" outlineLevel="0" collapsed="false">
      <c r="A16" s="39" t="s">
        <v>168</v>
      </c>
      <c r="B16" s="39"/>
      <c r="C16" s="39"/>
      <c r="D16" s="39"/>
      <c r="E16" s="39"/>
      <c r="F16" s="39"/>
      <c r="G16" s="39"/>
      <c r="H16" s="39"/>
      <c r="I16" s="39"/>
    </row>
    <row r="17" customFormat="false" ht="18" hidden="false" customHeight="true" outlineLevel="0" collapsed="false">
      <c r="A17" s="39" t="s">
        <v>169</v>
      </c>
      <c r="B17" s="39"/>
      <c r="C17" s="39"/>
      <c r="D17" s="39"/>
      <c r="E17" s="39"/>
      <c r="F17" s="39"/>
      <c r="G17" s="39"/>
      <c r="H17" s="39"/>
      <c r="I17" s="39"/>
    </row>
  </sheetData>
  <mergeCells count="8">
    <mergeCell ref="A1:I1"/>
    <mergeCell ref="A11:I11"/>
    <mergeCell ref="A12:I12"/>
    <mergeCell ref="A13:I13"/>
    <mergeCell ref="A14:I14"/>
    <mergeCell ref="A15:I15"/>
    <mergeCell ref="A16:I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4" hidden="false" customHeight="true" outlineLevel="0" collapsed="false">
      <c r="A1" s="40" t="s">
        <v>170</v>
      </c>
    </row>
    <row r="2" customFormat="false" ht="19.5" hidden="false" customHeight="true" outlineLevel="0" collapsed="false">
      <c r="A2" s="41"/>
    </row>
    <row r="3" customFormat="false" ht="24" hidden="false" customHeight="true" outlineLevel="0" collapsed="false">
      <c r="A3" s="42" t="s">
        <v>171</v>
      </c>
    </row>
    <row r="4" customFormat="false" ht="19.5" hidden="false" customHeight="true" outlineLevel="0" collapsed="false">
      <c r="A4" s="43" t="s">
        <v>172</v>
      </c>
    </row>
    <row r="5" customFormat="false" ht="19.5" hidden="false" customHeight="true" outlineLevel="0" collapsed="false">
      <c r="A5" s="43" t="s">
        <v>173</v>
      </c>
    </row>
    <row r="6" customFormat="false" ht="19.5" hidden="false" customHeight="true" outlineLevel="0" collapsed="false">
      <c r="A6" s="43" t="s">
        <v>174</v>
      </c>
    </row>
    <row r="7" customFormat="false" ht="19.5" hidden="false" customHeight="true" outlineLevel="0" collapsed="false">
      <c r="A7" s="41"/>
    </row>
    <row r="8" customFormat="false" ht="24" hidden="false" customHeight="true" outlineLevel="0" collapsed="false">
      <c r="A8" s="42" t="s">
        <v>175</v>
      </c>
    </row>
    <row r="9" customFormat="false" ht="19.5" hidden="false" customHeight="true" outlineLevel="0" collapsed="false">
      <c r="A9" s="43" t="s">
        <v>176</v>
      </c>
    </row>
    <row r="10" customFormat="false" ht="19.5" hidden="false" customHeight="true" outlineLevel="0" collapsed="false">
      <c r="A10" s="43" t="s">
        <v>177</v>
      </c>
    </row>
    <row r="11" customFormat="false" ht="19.5" hidden="false" customHeight="true" outlineLevel="0" collapsed="false">
      <c r="A11" s="44" t="s">
        <v>178</v>
      </c>
    </row>
    <row r="12" customFormat="false" ht="19.5" hidden="false" customHeight="true" outlineLevel="0" collapsed="false">
      <c r="A12" s="43" t="s">
        <v>179</v>
      </c>
    </row>
    <row r="13" customFormat="false" ht="19.5" hidden="false" customHeight="true" outlineLevel="0" collapsed="false">
      <c r="A13" s="43" t="s">
        <v>180</v>
      </c>
    </row>
    <row r="14" customFormat="false" ht="19.5" hidden="false" customHeight="true" outlineLevel="0" collapsed="false">
      <c r="A14" s="41"/>
    </row>
    <row r="15" customFormat="false" ht="24" hidden="false" customHeight="true" outlineLevel="0" collapsed="false">
      <c r="A15" s="42" t="s">
        <v>181</v>
      </c>
    </row>
    <row r="16" customFormat="false" ht="19.5" hidden="false" customHeight="true" outlineLevel="0" collapsed="false">
      <c r="A16" s="43" t="s">
        <v>182</v>
      </c>
    </row>
    <row r="17" customFormat="false" ht="19.5" hidden="false" customHeight="true" outlineLevel="0" collapsed="false">
      <c r="A17" s="43" t="s">
        <v>183</v>
      </c>
    </row>
    <row r="18" customFormat="false" ht="19.5" hidden="false" customHeight="true" outlineLevel="0" collapsed="false">
      <c r="A18" s="43" t="s">
        <v>184</v>
      </c>
    </row>
    <row r="19" customFormat="false" ht="19.5" hidden="false" customHeight="true" outlineLevel="0" collapsed="false">
      <c r="A19" s="43" t="s">
        <v>185</v>
      </c>
    </row>
    <row r="20" customFormat="false" ht="19.5" hidden="false" customHeight="true" outlineLevel="0" collapsed="false">
      <c r="A20" s="43" t="s">
        <v>186</v>
      </c>
    </row>
    <row r="21" customFormat="false" ht="19.5" hidden="false" customHeight="true" outlineLevel="0" collapsed="false">
      <c r="A21" s="41"/>
    </row>
    <row r="22" customFormat="false" ht="24" hidden="false" customHeight="true" outlineLevel="0" collapsed="false">
      <c r="A22" s="42" t="s">
        <v>187</v>
      </c>
    </row>
    <row r="23" customFormat="false" ht="19.5" hidden="false" customHeight="true" outlineLevel="0" collapsed="false">
      <c r="A23" s="45" t="s">
        <v>188</v>
      </c>
    </row>
    <row r="24" customFormat="false" ht="19.5" hidden="false" customHeight="true" outlineLevel="0" collapsed="false">
      <c r="A24" s="45" t="s">
        <v>189</v>
      </c>
    </row>
    <row r="25" customFormat="false" ht="19.5" hidden="false" customHeight="true" outlineLevel="0" collapsed="false">
      <c r="A25" s="45" t="s">
        <v>190</v>
      </c>
    </row>
    <row r="26" customFormat="false" ht="19.5" hidden="false" customHeight="true" outlineLevel="0" collapsed="false">
      <c r="A26" s="45" t="s">
        <v>191</v>
      </c>
    </row>
    <row r="27" customFormat="false" ht="19.5" hidden="false" customHeight="true" outlineLevel="0" collapsed="false">
      <c r="A27" s="46" t="s">
        <v>192</v>
      </c>
    </row>
    <row r="28" customFormat="false" ht="19.5" hidden="false" customHeight="true" outlineLevel="0" collapsed="false">
      <c r="A28" s="41"/>
    </row>
    <row r="29" customFormat="false" ht="24" hidden="false" customHeight="true" outlineLevel="0" collapsed="false">
      <c r="A29" s="42" t="s">
        <v>193</v>
      </c>
    </row>
    <row r="30" customFormat="false" ht="19.5" hidden="false" customHeight="true" outlineLevel="0" collapsed="false">
      <c r="A30" s="43" t="s">
        <v>194</v>
      </c>
    </row>
    <row r="31" customFormat="false" ht="19.5" hidden="false" customHeight="true" outlineLevel="0" collapsed="false">
      <c r="A31" s="43" t="s">
        <v>195</v>
      </c>
    </row>
    <row r="32" customFormat="false" ht="19.5" hidden="false" customHeight="true" outlineLevel="0" collapsed="false">
      <c r="A32" s="43" t="s">
        <v>196</v>
      </c>
    </row>
    <row r="33" customFormat="false" ht="19.5" hidden="false" customHeight="true" outlineLevel="0" collapsed="false">
      <c r="A33" s="43" t="s">
        <v>197</v>
      </c>
    </row>
    <row r="34" customFormat="false" ht="19.5" hidden="false" customHeight="true" outlineLevel="0" collapsed="false">
      <c r="A34" s="43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2026-06-11T16:14:39Z</dcterms:created>
  <dc:creator>openpyxl</dc:creator>
  <dc:description/>
  <dc:language>en-US</dc:language>
  <cp:lastModifiedBy/>
  <dcterms:modified xsi:type="dcterms:W3CDTF">2026-06-11T16:15:08Z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